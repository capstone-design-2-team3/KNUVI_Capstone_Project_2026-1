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E9419A4-B78C-461A-9D65-66B6B38461C1}" xr6:coauthVersionLast="47" xr6:coauthVersionMax="47" xr10:uidLastSave="{00000000-0000-0000-0000-000000000000}"/>
  <bookViews>
    <workbookView xWindow="0" yWindow="1848" windowWidth="20856" windowHeight="10392" activeTab="1" xr2:uid="{13C5A077-5A54-4AB7-9CED-80C1AF7DFCBD}"/>
  </bookViews>
  <sheets>
    <sheet name="완성" sheetId="2" r:id="rId1"/>
    <sheet name="연습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E14" i="3" s="1"/>
  <c r="D13" i="3"/>
  <c r="G13" i="3" s="1"/>
  <c r="D12" i="3"/>
  <c r="G12" i="3" s="1"/>
  <c r="D11" i="3"/>
  <c r="G11" i="3" s="1"/>
  <c r="D10" i="3"/>
  <c r="G10" i="3" s="1"/>
  <c r="D9" i="3"/>
  <c r="G9" i="3" s="1"/>
  <c r="D8" i="3"/>
  <c r="G8" i="3" s="1"/>
  <c r="D17" i="3"/>
  <c r="E17" i="3" s="1"/>
  <c r="D16" i="3"/>
  <c r="G16" i="3" s="1"/>
  <c r="D15" i="3"/>
  <c r="G15" i="3" s="1"/>
  <c r="E5" i="3"/>
  <c r="G5" i="3"/>
  <c r="G14" i="3" l="1"/>
  <c r="E13" i="3"/>
  <c r="E9" i="3"/>
  <c r="E12" i="3"/>
  <c r="E10" i="3"/>
  <c r="E8" i="3"/>
  <c r="E11" i="3"/>
  <c r="G17" i="3"/>
  <c r="E15" i="3"/>
  <c r="E16" i="3"/>
  <c r="D18" i="3"/>
  <c r="G18" i="3" s="1"/>
  <c r="D7" i="3"/>
  <c r="G7" i="3" s="1"/>
  <c r="D6" i="3"/>
  <c r="E6" i="3" s="1"/>
  <c r="D5" i="3"/>
  <c r="E18" i="3" l="1"/>
  <c r="E7" i="3"/>
  <c r="G6" i="3"/>
  <c r="G9" i="2"/>
  <c r="G10" i="2"/>
  <c r="G11" i="2"/>
  <c r="G12" i="2"/>
  <c r="G13" i="2"/>
  <c r="G6" i="2" l="1"/>
  <c r="G7" i="2"/>
  <c r="G8" i="2"/>
  <c r="G5" i="2"/>
  <c r="D6" i="2"/>
  <c r="D7" i="2"/>
  <c r="D8" i="2"/>
  <c r="D9" i="2"/>
  <c r="D10" i="2"/>
  <c r="D11" i="2"/>
  <c r="D12" i="2"/>
  <c r="D13" i="2"/>
  <c r="D5" i="2"/>
</calcChain>
</file>

<file path=xl/sharedStrings.xml><?xml version="1.0" encoding="utf-8"?>
<sst xmlns="http://schemas.openxmlformats.org/spreadsheetml/2006/main" count="42" uniqueCount="34">
  <si>
    <t>작업명</t>
    <phoneticPr fontId="3" type="noConversion"/>
  </si>
  <si>
    <t>시작일</t>
    <phoneticPr fontId="3" type="noConversion"/>
  </si>
  <si>
    <t>종료일</t>
    <phoneticPr fontId="3" type="noConversion"/>
  </si>
  <si>
    <t>Scope 및 일정 확정</t>
    <phoneticPr fontId="3" type="noConversion"/>
  </si>
  <si>
    <t>프로세스 정의 및 요구사항 분석</t>
    <phoneticPr fontId="3" type="noConversion"/>
  </si>
  <si>
    <t>기준 정보 및 사용자 정보 세팅</t>
    <phoneticPr fontId="3" type="noConversion"/>
  </si>
  <si>
    <t>프로그램 및 화면 설계</t>
    <phoneticPr fontId="3" type="noConversion"/>
  </si>
  <si>
    <t>사용자 인터페이스 개발</t>
    <phoneticPr fontId="3" type="noConversion"/>
  </si>
  <si>
    <t>데이터 이관</t>
    <phoneticPr fontId="3" type="noConversion"/>
  </si>
  <si>
    <t>통합 테스트</t>
    <phoneticPr fontId="3" type="noConversion"/>
  </si>
  <si>
    <t>사용자 매뉴얼 작성</t>
    <phoneticPr fontId="3" type="noConversion"/>
  </si>
  <si>
    <t>Go Live</t>
    <phoneticPr fontId="3" type="noConversion"/>
  </si>
  <si>
    <t>ABC 프로젝트 진척도</t>
    <phoneticPr fontId="3" type="noConversion"/>
  </si>
  <si>
    <t>실제</t>
    <phoneticPr fontId="3" type="noConversion"/>
  </si>
  <si>
    <t>소요일</t>
    <phoneticPr fontId="3" type="noConversion"/>
  </si>
  <si>
    <t>계획</t>
    <phoneticPr fontId="3" type="noConversion"/>
  </si>
  <si>
    <t>종료날짜</t>
    <phoneticPr fontId="3" type="noConversion"/>
  </si>
  <si>
    <t>진행률</t>
    <phoneticPr fontId="3" type="noConversion"/>
  </si>
  <si>
    <t>진행일수</t>
    <phoneticPr fontId="3" type="noConversion"/>
  </si>
  <si>
    <t>3DOD 실험 진행</t>
    <phoneticPr fontId="3" type="noConversion"/>
  </si>
  <si>
    <t>3DGS 실험 진행</t>
    <phoneticPr fontId="3" type="noConversion"/>
  </si>
  <si>
    <t>날씨 관련 데이터셋 조사</t>
    <phoneticPr fontId="3" type="noConversion"/>
  </si>
  <si>
    <t>실험 결과 정리</t>
    <phoneticPr fontId="3" type="noConversion"/>
  </si>
  <si>
    <t>계획 및 요구분석 발표 준비</t>
    <phoneticPr fontId="3" type="noConversion"/>
  </si>
  <si>
    <t>3팀 간트차트</t>
    <phoneticPr fontId="3" type="noConversion"/>
  </si>
  <si>
    <t>결과 발표 준비</t>
    <phoneticPr fontId="3" type="noConversion"/>
  </si>
  <si>
    <t>중간 발표1 준비</t>
    <phoneticPr fontId="3" type="noConversion"/>
  </si>
  <si>
    <t>SW 등록 진행</t>
    <phoneticPr fontId="3" type="noConversion"/>
  </si>
  <si>
    <t>중간 발표2 준비</t>
    <phoneticPr fontId="3" type="noConversion"/>
  </si>
  <si>
    <t>최종 보고서 작성</t>
    <phoneticPr fontId="3" type="noConversion"/>
  </si>
  <si>
    <t>논문 작성 및 제출</t>
    <phoneticPr fontId="3" type="noConversion"/>
  </si>
  <si>
    <t>후속 연구 진행</t>
    <phoneticPr fontId="3" type="noConversion"/>
  </si>
  <si>
    <t>시각화 웹페이지 제작</t>
    <phoneticPr fontId="3" type="noConversion"/>
  </si>
  <si>
    <t>실험 설계 및 환경 세팅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</si>
</sst>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7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5" borderId="0" xfId="0" applyFont="1" applyFill="1" applyAlignment="1">
      <alignment horizontal="centerContinuous" vertical="center"/>
    </xf>
    <xf numFmtId="0" fontId="6" fillId="5" borderId="0" xfId="0" applyFont="1" applyFill="1" applyAlignment="1">
      <alignment horizontal="centerContinuous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Continuous" vertical="center"/>
    </xf>
    <xf numFmtId="14" fontId="0" fillId="0" borderId="1" xfId="1" applyNumberFormat="1" applyFon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완성!$A$1</c:f>
          <c:strCache>
            <c:ptCount val="1"/>
            <c:pt idx="0">
              <c:v>ABC 프로젝트 진척도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시작일(계획)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완성!$A$5:$A$13</c:f>
              <c:strCache>
                <c:ptCount val="9"/>
                <c:pt idx="0">
                  <c:v>Scope 및 일정 확정</c:v>
                </c:pt>
                <c:pt idx="1">
                  <c:v>프로세스 정의 및 요구사항 분석</c:v>
                </c:pt>
                <c:pt idx="2">
                  <c:v>기준 정보 및 사용자 정보 세팅</c:v>
                </c:pt>
                <c:pt idx="3">
                  <c:v>프로그램 및 화면 설계</c:v>
                </c:pt>
                <c:pt idx="4">
                  <c:v>사용자 인터페이스 개발</c:v>
                </c:pt>
                <c:pt idx="5">
                  <c:v>데이터 이관</c:v>
                </c:pt>
                <c:pt idx="6">
                  <c:v>통합 테스트</c:v>
                </c:pt>
                <c:pt idx="7">
                  <c:v>사용자 매뉴얼 작성</c:v>
                </c:pt>
                <c:pt idx="8">
                  <c:v>Go Live</c:v>
                </c:pt>
              </c:strCache>
            </c:strRef>
          </c:cat>
          <c:val>
            <c:numRef>
              <c:f>완성!$B$5:$B$13</c:f>
              <c:numCache>
                <c:formatCode>m/d/yyyy</c:formatCode>
                <c:ptCount val="9"/>
                <c:pt idx="0">
                  <c:v>44075</c:v>
                </c:pt>
                <c:pt idx="1">
                  <c:v>44076</c:v>
                </c:pt>
                <c:pt idx="2">
                  <c:v>44081</c:v>
                </c:pt>
                <c:pt idx="3">
                  <c:v>44083</c:v>
                </c:pt>
                <c:pt idx="4">
                  <c:v>44084</c:v>
                </c:pt>
                <c:pt idx="5">
                  <c:v>44091</c:v>
                </c:pt>
                <c:pt idx="6">
                  <c:v>44095</c:v>
                </c:pt>
                <c:pt idx="7">
                  <c:v>44096</c:v>
                </c:pt>
                <c:pt idx="8">
                  <c:v>44102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6-47CA-95E6-DEAE309494CE}"/>
            </c:ext>
          </c:extLst>
        </c:ser>
        <c:ser>
          <c:idx val="1"/>
          <c:order val="1"/>
          <c:tx>
            <c:v>소요일(계획)</c:v>
          </c:tx>
          <c:spPr>
            <a:gradFill>
              <a:gsLst>
                <a:gs pos="50000">
                  <a:schemeClr val="accent1"/>
                </a:gs>
                <a:gs pos="50000">
                  <a:schemeClr val="accent5">
                    <a:lumMod val="0"/>
                    <a:lumOff val="100000"/>
                    <a:alpha val="0"/>
                  </a:schemeClr>
                </a:gs>
                <a:gs pos="0">
                  <a:schemeClr val="accent1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val>
            <c:numRef>
              <c:f>완성!$D$5:$D$13</c:f>
              <c:numCache>
                <c:formatCode>_(* #,##0_);_(* \(#,##0\);_(* "-"_);_(@_)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36-47CA-95E6-DEAE3094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6167544"/>
        <c:axId val="506167872"/>
      </c:barChart>
      <c:barChart>
        <c:barDir val="bar"/>
        <c:grouping val="stacked"/>
        <c:varyColors val="0"/>
        <c:ser>
          <c:idx val="2"/>
          <c:order val="2"/>
          <c:tx>
            <c:v>시작일(실제)</c:v>
          </c:tx>
          <c:spPr>
            <a:noFill/>
            <a:ln>
              <a:noFill/>
            </a:ln>
            <a:effectLst/>
          </c:spPr>
          <c:invertIfNegative val="0"/>
          <c:val>
            <c:numRef>
              <c:f>완성!$E$5:$E$13</c:f>
              <c:numCache>
                <c:formatCode>m/d/yyyy</c:formatCode>
                <c:ptCount val="9"/>
                <c:pt idx="0">
                  <c:v>44075</c:v>
                </c:pt>
                <c:pt idx="1">
                  <c:v>44077</c:v>
                </c:pt>
                <c:pt idx="2">
                  <c:v>44080</c:v>
                </c:pt>
                <c:pt idx="3">
                  <c:v>44084</c:v>
                </c:pt>
                <c:pt idx="4">
                  <c:v>44086</c:v>
                </c:pt>
                <c:pt idx="5">
                  <c:v>44093</c:v>
                </c:pt>
                <c:pt idx="6">
                  <c:v>44096</c:v>
                </c:pt>
                <c:pt idx="7">
                  <c:v>44096</c:v>
                </c:pt>
                <c:pt idx="8">
                  <c:v>44102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36-47CA-95E6-DEAE309494CE}"/>
            </c:ext>
          </c:extLst>
        </c:ser>
        <c:ser>
          <c:idx val="3"/>
          <c:order val="3"/>
          <c:tx>
            <c:v>소요일(실제)</c:v>
          </c:tx>
          <c:spPr>
            <a:gradFill>
              <a:gsLst>
                <a:gs pos="50000">
                  <a:schemeClr val="bg1">
                    <a:alpha val="0"/>
                  </a:schemeClr>
                </a:gs>
                <a:gs pos="50000">
                  <a:schemeClr val="accent6"/>
                </a:gs>
                <a:gs pos="100000">
                  <a:schemeClr val="accent6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val>
            <c:numRef>
              <c:f>완성!$G$5:$G$13</c:f>
              <c:numCache>
                <c:formatCode>_(* #,##0_);_(* \(#,##0\);_(* "-"_);_(@_)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36-47CA-95E6-DEAE3094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6185912"/>
        <c:axId val="506177712"/>
      </c:barChart>
      <c:catAx>
        <c:axId val="506167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167872"/>
        <c:crosses val="autoZero"/>
        <c:auto val="1"/>
        <c:lblAlgn val="ctr"/>
        <c:lblOffset val="100"/>
        <c:noMultiLvlLbl val="0"/>
      </c:catAx>
      <c:valAx>
        <c:axId val="506167872"/>
        <c:scaling>
          <c:orientation val="minMax"/>
          <c:max val="44104"/>
          <c:min val="4407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\/d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167544"/>
        <c:crosses val="autoZero"/>
        <c:crossBetween val="between"/>
        <c:majorUnit val="7"/>
        <c:minorUnit val="1"/>
      </c:valAx>
      <c:valAx>
        <c:axId val="506177712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506185912"/>
        <c:crosses val="autoZero"/>
        <c:crossBetween val="between"/>
      </c:valAx>
      <c:catAx>
        <c:axId val="506185912"/>
        <c:scaling>
          <c:orientation val="maxMin"/>
        </c:scaling>
        <c:delete val="1"/>
        <c:axPos val="r"/>
        <c:majorTickMark val="out"/>
        <c:minorTickMark val="none"/>
        <c:tickLblPos val="nextTo"/>
        <c:crossAx val="50617771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연습!$B$4</c:f>
              <c:strCache>
                <c:ptCount val="1"/>
                <c:pt idx="0">
                  <c:v>시작일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연습!$G$5:$G$18</c:f>
                <c:numCache>
                  <c:formatCode>General</c:formatCode>
                  <c:ptCount val="14"/>
                  <c:pt idx="0">
                    <c:v>5</c:v>
                  </c:pt>
                  <c:pt idx="1">
                    <c:v>12</c:v>
                  </c:pt>
                  <c:pt idx="2">
                    <c:v>7</c:v>
                  </c:pt>
                  <c:pt idx="3">
                    <c:v>21.5</c:v>
                  </c:pt>
                  <c:pt idx="4">
                    <c:v>21.5</c:v>
                  </c:pt>
                  <c:pt idx="5">
                    <c:v>13.69</c:v>
                  </c:pt>
                  <c:pt idx="6">
                    <c:v>7</c:v>
                  </c:pt>
                  <c:pt idx="7">
                    <c:v>4.2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508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연습!$A$5:$A$18</c:f>
              <c:strCache>
                <c:ptCount val="14"/>
                <c:pt idx="0">
                  <c:v>날씨 관련 데이터셋 조사</c:v>
                </c:pt>
                <c:pt idx="1">
                  <c:v>실험 설계 및 환경 세팅</c:v>
                </c:pt>
                <c:pt idx="2">
                  <c:v>계획 및 요구분석 발표 준비</c:v>
                </c:pt>
                <c:pt idx="3">
                  <c:v>3DOD 실험 진행</c:v>
                </c:pt>
                <c:pt idx="4">
                  <c:v>3DGS 실험 진행</c:v>
                </c:pt>
                <c:pt idx="5">
                  <c:v>실험 결과 정리</c:v>
                </c:pt>
                <c:pt idx="6">
                  <c:v>중간 발표1 준비</c:v>
                </c:pt>
                <c:pt idx="7">
                  <c:v>논문 작성 및 제출</c:v>
                </c:pt>
                <c:pt idx="8">
                  <c:v>시각화 웹페이지 제작</c:v>
                </c:pt>
                <c:pt idx="9">
                  <c:v>중간 발표2 준비</c:v>
                </c:pt>
                <c:pt idx="10">
                  <c:v>SW 등록 진행</c:v>
                </c:pt>
                <c:pt idx="11">
                  <c:v>후속 연구 진행</c:v>
                </c:pt>
                <c:pt idx="12">
                  <c:v>최종 보고서 작성</c:v>
                </c:pt>
                <c:pt idx="13">
                  <c:v>결과 발표 준비</c:v>
                </c:pt>
              </c:strCache>
            </c:strRef>
          </c:cat>
          <c:val>
            <c:numRef>
              <c:f>연습!$B$5:$B$18</c:f>
              <c:numCache>
                <c:formatCode>m/d/yyyy</c:formatCode>
                <c:ptCount val="14"/>
                <c:pt idx="0">
                  <c:v>46084</c:v>
                </c:pt>
                <c:pt idx="1">
                  <c:v>46088</c:v>
                </c:pt>
                <c:pt idx="2">
                  <c:v>46085</c:v>
                </c:pt>
                <c:pt idx="3">
                  <c:v>46098</c:v>
                </c:pt>
                <c:pt idx="4">
                  <c:v>46098</c:v>
                </c:pt>
                <c:pt idx="5">
                  <c:v>46106</c:v>
                </c:pt>
                <c:pt idx="6">
                  <c:v>46106</c:v>
                </c:pt>
                <c:pt idx="7">
                  <c:v>46115</c:v>
                </c:pt>
                <c:pt idx="8">
                  <c:v>46130</c:v>
                </c:pt>
                <c:pt idx="9">
                  <c:v>46141</c:v>
                </c:pt>
                <c:pt idx="10">
                  <c:v>46150</c:v>
                </c:pt>
                <c:pt idx="11">
                  <c:v>46162</c:v>
                </c:pt>
                <c:pt idx="12">
                  <c:v>46173</c:v>
                </c:pt>
                <c:pt idx="13">
                  <c:v>46176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0-44A7-9C0E-13AAC4176D9D}"/>
            </c:ext>
          </c:extLst>
        </c:ser>
        <c:ser>
          <c:idx val="1"/>
          <c:order val="1"/>
          <c:tx>
            <c:strRef>
              <c:f>연습!$D$4</c:f>
              <c:strCache>
                <c:ptCount val="1"/>
                <c:pt idx="0">
                  <c:v>소요일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연습!$A$5:$A$18</c:f>
              <c:strCache>
                <c:ptCount val="14"/>
                <c:pt idx="0">
                  <c:v>날씨 관련 데이터셋 조사</c:v>
                </c:pt>
                <c:pt idx="1">
                  <c:v>실험 설계 및 환경 세팅</c:v>
                </c:pt>
                <c:pt idx="2">
                  <c:v>계획 및 요구분석 발표 준비</c:v>
                </c:pt>
                <c:pt idx="3">
                  <c:v>3DOD 실험 진행</c:v>
                </c:pt>
                <c:pt idx="4">
                  <c:v>3DGS 실험 진행</c:v>
                </c:pt>
                <c:pt idx="5">
                  <c:v>실험 결과 정리</c:v>
                </c:pt>
                <c:pt idx="6">
                  <c:v>중간 발표1 준비</c:v>
                </c:pt>
                <c:pt idx="7">
                  <c:v>논문 작성 및 제출</c:v>
                </c:pt>
                <c:pt idx="8">
                  <c:v>시각화 웹페이지 제작</c:v>
                </c:pt>
                <c:pt idx="9">
                  <c:v>중간 발표2 준비</c:v>
                </c:pt>
                <c:pt idx="10">
                  <c:v>SW 등록 진행</c:v>
                </c:pt>
                <c:pt idx="11">
                  <c:v>후속 연구 진행</c:v>
                </c:pt>
                <c:pt idx="12">
                  <c:v>최종 보고서 작성</c:v>
                </c:pt>
                <c:pt idx="13">
                  <c:v>결과 발표 준비</c:v>
                </c:pt>
              </c:strCache>
            </c:strRef>
          </c:cat>
          <c:val>
            <c:numRef>
              <c:f>연습!$D$5:$D$18</c:f>
              <c:numCache>
                <c:formatCode>_(* #,##0_);_(* \(#,##0\);_(* "-"_);_(@_)</c:formatCode>
                <c:ptCount val="14"/>
                <c:pt idx="0">
                  <c:v>5</c:v>
                </c:pt>
                <c:pt idx="1">
                  <c:v>12</c:v>
                </c:pt>
                <c:pt idx="2">
                  <c:v>7</c:v>
                </c:pt>
                <c:pt idx="3">
                  <c:v>43</c:v>
                </c:pt>
                <c:pt idx="4">
                  <c:v>43</c:v>
                </c:pt>
                <c:pt idx="5">
                  <c:v>37</c:v>
                </c:pt>
                <c:pt idx="6">
                  <c:v>7</c:v>
                </c:pt>
                <c:pt idx="7">
                  <c:v>42</c:v>
                </c:pt>
                <c:pt idx="8">
                  <c:v>20</c:v>
                </c:pt>
                <c:pt idx="9">
                  <c:v>7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0-44A7-9C0E-13AAC417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9951631"/>
        <c:axId val="1145770112"/>
      </c:barChart>
      <c:catAx>
        <c:axId val="10899516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8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5770112"/>
        <c:crosses val="autoZero"/>
        <c:auto val="1"/>
        <c:lblAlgn val="ctr"/>
        <c:lblOffset val="100"/>
        <c:noMultiLvlLbl val="0"/>
      </c:catAx>
      <c:valAx>
        <c:axId val="1145770112"/>
        <c:scaling>
          <c:orientation val="minMax"/>
          <c:max val="46204"/>
          <c:min val="46084"/>
        </c:scaling>
        <c:delete val="0"/>
        <c:axPos val="t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&quot;/&quot;d;@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9951631"/>
        <c:crosses val="autoZero"/>
        <c:crossBetween val="between"/>
        <c:majorUnit val="7"/>
        <c:min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9</xdr:col>
      <xdr:colOff>647701</xdr:colOff>
      <xdr:row>33</xdr:row>
      <xdr:rowOff>57150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5EFB6E4-E360-412F-ACA8-CE227D92E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346244</xdr:colOff>
      <xdr:row>20</xdr:row>
      <xdr:rowOff>67463</xdr:rowOff>
    </xdr:from>
    <xdr:to>
      <xdr:col>13</xdr:col>
      <xdr:colOff>83196</xdr:colOff>
      <xdr:row>40</xdr:row>
      <xdr:rowOff>148883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0BFB182-B92C-49EF-E0CC-7B06CB2FA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2284741</xdr:colOff>
      <xdr:row>21</xdr:row>
      <xdr:rowOff>8189</xdr:rowOff>
    </xdr:from>
    <xdr:to>
      <xdr:col>2</xdr:col>
      <xdr:colOff>62631</xdr:colOff>
      <xdr:row>22</xdr:row>
      <xdr:rowOff>87911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1F1EBD-1DFF-5277-BED5-9F79B67C2101}"/>
            </a:ext>
          </a:extLst>
        </xdr:cNvPr>
        <xdr:cNvSpPr txBox="1"/>
      </xdr:nvSpPr>
      <xdr:spPr>
        <a:xfrm>
          <a:off x="2284741" y="4758783"/>
          <a:ext cx="944953" cy="305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1</xdr:col>
      <xdr:colOff>834145</xdr:colOff>
      <xdr:row>22</xdr:row>
      <xdr:rowOff>64651</xdr:rowOff>
    </xdr:from>
    <xdr:to>
      <xdr:col>3</xdr:col>
      <xdr:colOff>80655</xdr:colOff>
      <xdr:row>23</xdr:row>
      <xdr:rowOff>141860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C53D1-1D24-4322-AC40-56A0AA01C2B9}"/>
            </a:ext>
          </a:extLst>
        </xdr:cNvPr>
        <xdr:cNvSpPr txBox="1"/>
      </xdr:nvSpPr>
      <xdr:spPr>
        <a:xfrm>
          <a:off x="3155864" y="5041464"/>
          <a:ext cx="937197" cy="303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1</xdr:col>
      <xdr:colOff>214059</xdr:colOff>
      <xdr:row>23</xdr:row>
      <xdr:rowOff>121255</xdr:rowOff>
    </xdr:from>
    <xdr:to>
      <xdr:col>2</xdr:col>
      <xdr:colOff>305912</xdr:colOff>
      <xdr:row>24</xdr:row>
      <xdr:rowOff>198465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6BC4C2-91F7-4002-8E92-586F83A8312E}"/>
            </a:ext>
          </a:extLst>
        </xdr:cNvPr>
        <xdr:cNvSpPr txBox="1"/>
      </xdr:nvSpPr>
      <xdr:spPr>
        <a:xfrm>
          <a:off x="2528022" y="5266503"/>
          <a:ext cx="937743" cy="300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배채은</a:t>
          </a:r>
          <a:endParaRPr lang="en-US" altLang="ko-KR" sz="900"/>
        </a:p>
      </xdr:txBody>
    </xdr:sp>
    <xdr:clientData/>
  </xdr:twoCellAnchor>
  <xdr:twoCellAnchor>
    <xdr:from>
      <xdr:col>5</xdr:col>
      <xdr:colOff>678200</xdr:colOff>
      <xdr:row>24</xdr:row>
      <xdr:rowOff>214020</xdr:rowOff>
    </xdr:from>
    <xdr:to>
      <xdr:col>7</xdr:col>
      <xdr:colOff>452302</xdr:colOff>
      <xdr:row>26</xdr:row>
      <xdr:rowOff>74988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E934FA-EBB6-4475-B477-9AD8A35AB0B0}"/>
            </a:ext>
          </a:extLst>
        </xdr:cNvPr>
        <xdr:cNvSpPr txBox="1"/>
      </xdr:nvSpPr>
      <xdr:spPr>
        <a:xfrm>
          <a:off x="6381294" y="5643270"/>
          <a:ext cx="1393352" cy="313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이상욱</a:t>
          </a:r>
          <a:r>
            <a:rPr lang="en-US" altLang="ko-KR" sz="900"/>
            <a:t>, </a:t>
          </a:r>
          <a:r>
            <a:rPr lang="ko-KR" altLang="en-US" sz="900"/>
            <a:t>최경진</a:t>
          </a:r>
          <a:r>
            <a:rPr lang="en-US" altLang="ko-KR" sz="900"/>
            <a:t>, </a:t>
          </a:r>
          <a:r>
            <a:rPr lang="ko-KR" altLang="en-US" sz="900"/>
            <a:t>배채은</a:t>
          </a:r>
          <a:endParaRPr lang="en-US" altLang="ko-KR" sz="900"/>
        </a:p>
      </xdr:txBody>
    </xdr:sp>
    <xdr:clientData/>
  </xdr:twoCellAnchor>
  <xdr:twoCellAnchor>
    <xdr:from>
      <xdr:col>5</xdr:col>
      <xdr:colOff>686698</xdr:colOff>
      <xdr:row>26</xdr:row>
      <xdr:rowOff>51506</xdr:rowOff>
    </xdr:from>
    <xdr:to>
      <xdr:col>6</xdr:col>
      <xdr:colOff>807858</xdr:colOff>
      <xdr:row>27</xdr:row>
      <xdr:rowOff>128714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36061B-BE5C-4875-A51D-E28258FE15BF}"/>
            </a:ext>
          </a:extLst>
        </xdr:cNvPr>
        <xdr:cNvSpPr txBox="1"/>
      </xdr:nvSpPr>
      <xdr:spPr>
        <a:xfrm>
          <a:off x="6389792" y="5933194"/>
          <a:ext cx="930785" cy="303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이윤호</a:t>
          </a:r>
          <a:r>
            <a:rPr lang="en-US" altLang="ko-KR" sz="900"/>
            <a:t>, </a:t>
          </a:r>
          <a:r>
            <a:rPr lang="ko-KR" altLang="en-US" sz="900"/>
            <a:t>김규도</a:t>
          </a:r>
          <a:endParaRPr lang="en-US" altLang="ko-KR" sz="900"/>
        </a:p>
      </xdr:txBody>
    </xdr:sp>
    <xdr:clientData/>
  </xdr:twoCellAnchor>
  <xdr:twoCellAnchor>
    <xdr:from>
      <xdr:col>6</xdr:col>
      <xdr:colOff>105540</xdr:colOff>
      <xdr:row>27</xdr:row>
      <xdr:rowOff>105630</xdr:rowOff>
    </xdr:from>
    <xdr:to>
      <xdr:col>7</xdr:col>
      <xdr:colOff>232238</xdr:colOff>
      <xdr:row>28</xdr:row>
      <xdr:rowOff>175376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C57429-A8FE-48FA-99D2-0FCF8129B3C3}"/>
            </a:ext>
          </a:extLst>
        </xdr:cNvPr>
        <xdr:cNvSpPr txBox="1"/>
      </xdr:nvSpPr>
      <xdr:spPr>
        <a:xfrm>
          <a:off x="6618259" y="6213536"/>
          <a:ext cx="936323" cy="295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7</xdr:col>
      <xdr:colOff>352710</xdr:colOff>
      <xdr:row>30</xdr:row>
      <xdr:rowOff>36699</xdr:rowOff>
    </xdr:from>
    <xdr:to>
      <xdr:col>9</xdr:col>
      <xdr:colOff>488588</xdr:colOff>
      <xdr:row>31</xdr:row>
      <xdr:rowOff>113907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7B2F4E-7555-4AA7-8F08-15E88A4965A9}"/>
            </a:ext>
          </a:extLst>
        </xdr:cNvPr>
        <xdr:cNvSpPr txBox="1"/>
      </xdr:nvSpPr>
      <xdr:spPr>
        <a:xfrm>
          <a:off x="7663791" y="6523996"/>
          <a:ext cx="1546608" cy="293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이윤호</a:t>
          </a:r>
          <a:r>
            <a:rPr lang="en-US" altLang="ko-KR" sz="900"/>
            <a:t>, </a:t>
          </a:r>
          <a:r>
            <a:rPr lang="ko-KR" altLang="en-US" sz="900"/>
            <a:t>최경진</a:t>
          </a:r>
          <a:r>
            <a:rPr lang="en-US" altLang="ko-KR" sz="900"/>
            <a:t>, </a:t>
          </a:r>
          <a:r>
            <a:rPr lang="ko-KR" altLang="en-US" sz="900"/>
            <a:t>이상욱</a:t>
          </a:r>
          <a:endParaRPr lang="en-US" altLang="ko-KR" sz="900"/>
        </a:p>
      </xdr:txBody>
    </xdr:sp>
    <xdr:clientData/>
  </xdr:twoCellAnchor>
  <xdr:twoCellAnchor>
    <xdr:from>
      <xdr:col>9</xdr:col>
      <xdr:colOff>48205</xdr:colOff>
      <xdr:row>34</xdr:row>
      <xdr:rowOff>16046</xdr:rowOff>
    </xdr:from>
    <xdr:to>
      <xdr:col>10</xdr:col>
      <xdr:colOff>145326</xdr:colOff>
      <xdr:row>35</xdr:row>
      <xdr:rowOff>87265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B8ED27-8ACE-4C60-9E5F-F4077D7DE2AA}"/>
            </a:ext>
          </a:extLst>
        </xdr:cNvPr>
        <xdr:cNvSpPr txBox="1"/>
      </xdr:nvSpPr>
      <xdr:spPr>
        <a:xfrm>
          <a:off x="8776569" y="7418332"/>
          <a:ext cx="938289" cy="288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6</xdr:col>
      <xdr:colOff>444649</xdr:colOff>
      <xdr:row>32</xdr:row>
      <xdr:rowOff>186203</xdr:rowOff>
    </xdr:from>
    <xdr:to>
      <xdr:col>8</xdr:col>
      <xdr:colOff>5200</xdr:colOff>
      <xdr:row>34</xdr:row>
      <xdr:rowOff>37194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B9A408-2E74-4E1B-8E3D-83FEC5D0C276}"/>
            </a:ext>
          </a:extLst>
        </xdr:cNvPr>
        <xdr:cNvSpPr txBox="1"/>
      </xdr:nvSpPr>
      <xdr:spPr>
        <a:xfrm>
          <a:off x="6957368" y="7425203"/>
          <a:ext cx="929770" cy="303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최경진</a:t>
          </a:r>
          <a:endParaRPr lang="en-US" altLang="ko-KR" sz="900"/>
        </a:p>
      </xdr:txBody>
    </xdr:sp>
    <xdr:clientData/>
  </xdr:twoCellAnchor>
  <xdr:twoCellAnchor>
    <xdr:from>
      <xdr:col>10</xdr:col>
      <xdr:colOff>131570</xdr:colOff>
      <xdr:row>37</xdr:row>
      <xdr:rowOff>220524</xdr:rowOff>
    </xdr:from>
    <xdr:to>
      <xdr:col>11</xdr:col>
      <xdr:colOff>503056</xdr:colOff>
      <xdr:row>39</xdr:row>
      <xdr:rowOff>74028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6710F9-1813-440F-8BBF-39D4411B80BE}"/>
            </a:ext>
          </a:extLst>
        </xdr:cNvPr>
        <xdr:cNvSpPr txBox="1"/>
      </xdr:nvSpPr>
      <xdr:spPr>
        <a:xfrm>
          <a:off x="9715992" y="8497662"/>
          <a:ext cx="937743" cy="300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이상욱</a:t>
          </a:r>
          <a:r>
            <a:rPr lang="en-US" altLang="ko-KR" sz="900"/>
            <a:t>, </a:t>
          </a:r>
          <a:r>
            <a:rPr lang="ko-KR" altLang="en-US" sz="900"/>
            <a:t>이윤호</a:t>
          </a:r>
          <a:endParaRPr lang="en-US" altLang="ko-KR" sz="900"/>
        </a:p>
      </xdr:txBody>
    </xdr:sp>
    <xdr:clientData/>
  </xdr:twoCellAnchor>
  <xdr:twoCellAnchor>
    <xdr:from>
      <xdr:col>3</xdr:col>
      <xdr:colOff>179996</xdr:colOff>
      <xdr:row>28</xdr:row>
      <xdr:rowOff>171739</xdr:rowOff>
    </xdr:from>
    <xdr:to>
      <xdr:col>5</xdr:col>
      <xdr:colOff>16268</xdr:colOff>
      <xdr:row>30</xdr:row>
      <xdr:rowOff>32707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57D5D38-DCB8-43F7-A1C1-3C9C5BBFA544}"/>
            </a:ext>
          </a:extLst>
        </xdr:cNvPr>
        <xdr:cNvSpPr txBox="1"/>
      </xdr:nvSpPr>
      <xdr:spPr>
        <a:xfrm>
          <a:off x="4185645" y="6226550"/>
          <a:ext cx="1535326" cy="293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김규도</a:t>
          </a:r>
          <a:endParaRPr lang="en-US" altLang="ko-KR" sz="900"/>
        </a:p>
      </xdr:txBody>
    </xdr:sp>
    <xdr:clientData/>
  </xdr:twoCellAnchor>
  <xdr:twoCellAnchor>
    <xdr:from>
      <xdr:col>10</xdr:col>
      <xdr:colOff>205783</xdr:colOff>
      <xdr:row>35</xdr:row>
      <xdr:rowOff>82741</xdr:rowOff>
    </xdr:from>
    <xdr:to>
      <xdr:col>11</xdr:col>
      <xdr:colOff>581265</xdr:colOff>
      <xdr:row>36</xdr:row>
      <xdr:rowOff>153959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F7D8FF-9E24-4A07-8788-6826673781BC}"/>
            </a:ext>
          </a:extLst>
        </xdr:cNvPr>
        <xdr:cNvSpPr txBox="1"/>
      </xdr:nvSpPr>
      <xdr:spPr>
        <a:xfrm>
          <a:off x="9775315" y="7702741"/>
          <a:ext cx="939560" cy="288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11</xdr:col>
      <xdr:colOff>397767</xdr:colOff>
      <xdr:row>36</xdr:row>
      <xdr:rowOff>155972</xdr:rowOff>
    </xdr:from>
    <xdr:to>
      <xdr:col>12</xdr:col>
      <xdr:colOff>664392</xdr:colOff>
      <xdr:row>38</xdr:row>
      <xdr:rowOff>9475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46106CA-6AA8-42A0-BE0D-217EA1FDDF0B}"/>
            </a:ext>
          </a:extLst>
        </xdr:cNvPr>
        <xdr:cNvSpPr txBox="1"/>
      </xdr:nvSpPr>
      <xdr:spPr>
        <a:xfrm>
          <a:off x="10531377" y="7993686"/>
          <a:ext cx="939560" cy="288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학부생 전원</a:t>
          </a:r>
          <a:endParaRPr lang="en-US" altLang="ko-KR" sz="900"/>
        </a:p>
      </xdr:txBody>
    </xdr:sp>
    <xdr:clientData/>
  </xdr:twoCellAnchor>
  <xdr:twoCellAnchor>
    <xdr:from>
      <xdr:col>6</xdr:col>
      <xdr:colOff>602208</xdr:colOff>
      <xdr:row>31</xdr:row>
      <xdr:rowOff>127084</xdr:rowOff>
    </xdr:from>
    <xdr:to>
      <xdr:col>8</xdr:col>
      <xdr:colOff>169516</xdr:colOff>
      <xdr:row>32</xdr:row>
      <xdr:rowOff>204294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CC62F6-E8E0-4817-A167-34CD2443ECFE}"/>
            </a:ext>
          </a:extLst>
        </xdr:cNvPr>
        <xdr:cNvSpPr txBox="1"/>
      </xdr:nvSpPr>
      <xdr:spPr>
        <a:xfrm>
          <a:off x="7114927" y="7139865"/>
          <a:ext cx="936527" cy="303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김규도</a:t>
          </a:r>
          <a:r>
            <a:rPr lang="en-US" altLang="ko-KR" sz="900"/>
            <a:t>, </a:t>
          </a:r>
          <a:r>
            <a:rPr lang="ko-KR" altLang="en-US" sz="900"/>
            <a:t>배채은</a:t>
          </a:r>
          <a:endParaRPr lang="en-US" altLang="ko-KR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5A51-9EE3-48F1-8634-D7EBF0754359}">
  <dimension ref="A1:G13"/>
  <sheetViews>
    <sheetView showGridLines="0" workbookViewId="0">
      <selection activeCell="A4" sqref="A4"/>
    </sheetView>
  </sheetViews>
  <sheetFormatPr defaultRowHeight="17.399999999999999" x14ac:dyDescent="0.4"/>
  <cols>
    <col min="1" max="1" width="30.3984375" bestFit="1" customWidth="1"/>
    <col min="2" max="2" width="11.09765625" bestFit="1" customWidth="1"/>
    <col min="3" max="3" width="11.09765625" customWidth="1"/>
    <col min="4" max="4" width="7.3984375" bestFit="1" customWidth="1"/>
    <col min="5" max="5" width="11.09765625" bestFit="1" customWidth="1"/>
    <col min="6" max="6" width="11.09765625" customWidth="1"/>
    <col min="7" max="7" width="7.3984375" bestFit="1" customWidth="1"/>
    <col min="8" max="8" width="11.09765625" bestFit="1" customWidth="1"/>
  </cols>
  <sheetData>
    <row r="1" spans="1:7" x14ac:dyDescent="0.4">
      <c r="A1" s="4" t="s">
        <v>12</v>
      </c>
    </row>
    <row r="2" spans="1:7" x14ac:dyDescent="0.4">
      <c r="A2" s="4"/>
    </row>
    <row r="3" spans="1:7" x14ac:dyDescent="0.4">
      <c r="A3" s="4"/>
      <c r="B3" s="6" t="s">
        <v>15</v>
      </c>
      <c r="C3" s="6"/>
      <c r="D3" s="6"/>
      <c r="E3" s="7" t="s">
        <v>13</v>
      </c>
      <c r="F3" s="7"/>
      <c r="G3" s="8"/>
    </row>
    <row r="4" spans="1:7" x14ac:dyDescent="0.4">
      <c r="A4" s="10" t="s">
        <v>0</v>
      </c>
      <c r="B4" s="5" t="s">
        <v>1</v>
      </c>
      <c r="C4" s="5" t="s">
        <v>2</v>
      </c>
      <c r="D4" s="5" t="s">
        <v>14</v>
      </c>
      <c r="E4" s="9" t="s">
        <v>1</v>
      </c>
      <c r="F4" s="9" t="s">
        <v>2</v>
      </c>
      <c r="G4" s="9" t="s">
        <v>14</v>
      </c>
    </row>
    <row r="5" spans="1:7" x14ac:dyDescent="0.4">
      <c r="A5" s="1" t="s">
        <v>3</v>
      </c>
      <c r="B5" s="2">
        <v>44075</v>
      </c>
      <c r="C5" s="2">
        <v>44077</v>
      </c>
      <c r="D5" s="3">
        <f>IF(C5="","",C5-B5+1)</f>
        <v>3</v>
      </c>
      <c r="E5" s="2">
        <v>44075</v>
      </c>
      <c r="F5" s="2">
        <v>44076</v>
      </c>
      <c r="G5" s="3">
        <f>IF(F5="","",F5-E5+1)</f>
        <v>2</v>
      </c>
    </row>
    <row r="6" spans="1:7" x14ac:dyDescent="0.4">
      <c r="A6" s="1" t="s">
        <v>4</v>
      </c>
      <c r="B6" s="2">
        <v>44076</v>
      </c>
      <c r="C6" s="2">
        <v>44078</v>
      </c>
      <c r="D6" s="3">
        <f t="shared" ref="D6:D13" si="0">IF(C6="","",C6-B6+1)</f>
        <v>3</v>
      </c>
      <c r="E6" s="2">
        <v>44077</v>
      </c>
      <c r="F6" s="2">
        <v>44079</v>
      </c>
      <c r="G6" s="3">
        <f t="shared" ref="G6:G13" si="1">IF(F6="","",F6-E6+1)</f>
        <v>3</v>
      </c>
    </row>
    <row r="7" spans="1:7" x14ac:dyDescent="0.4">
      <c r="A7" s="1" t="s">
        <v>5</v>
      </c>
      <c r="B7" s="2">
        <v>44081</v>
      </c>
      <c r="C7" s="2">
        <v>44082</v>
      </c>
      <c r="D7" s="3">
        <f t="shared" si="0"/>
        <v>2</v>
      </c>
      <c r="E7" s="2">
        <v>44080</v>
      </c>
      <c r="F7" s="2">
        <v>44083</v>
      </c>
      <c r="G7" s="3">
        <f t="shared" si="1"/>
        <v>4</v>
      </c>
    </row>
    <row r="8" spans="1:7" x14ac:dyDescent="0.4">
      <c r="A8" s="1" t="s">
        <v>6</v>
      </c>
      <c r="B8" s="2">
        <v>44083</v>
      </c>
      <c r="C8" s="2">
        <v>44085</v>
      </c>
      <c r="D8" s="3">
        <f t="shared" si="0"/>
        <v>3</v>
      </c>
      <c r="E8" s="2">
        <v>44084</v>
      </c>
      <c r="F8" s="2">
        <v>44087</v>
      </c>
      <c r="G8" s="3">
        <f t="shared" si="1"/>
        <v>4</v>
      </c>
    </row>
    <row r="9" spans="1:7" x14ac:dyDescent="0.4">
      <c r="A9" s="1" t="s">
        <v>7</v>
      </c>
      <c r="B9" s="2">
        <v>44084</v>
      </c>
      <c r="C9" s="2">
        <v>44091</v>
      </c>
      <c r="D9" s="3">
        <f t="shared" si="0"/>
        <v>8</v>
      </c>
      <c r="E9" s="2">
        <v>44086</v>
      </c>
      <c r="F9" s="2">
        <v>44094</v>
      </c>
      <c r="G9" s="3">
        <f t="shared" si="1"/>
        <v>9</v>
      </c>
    </row>
    <row r="10" spans="1:7" x14ac:dyDescent="0.4">
      <c r="A10" s="1" t="s">
        <v>8</v>
      </c>
      <c r="B10" s="2">
        <v>44091</v>
      </c>
      <c r="C10" s="2">
        <v>44094</v>
      </c>
      <c r="D10" s="3">
        <f t="shared" si="0"/>
        <v>4</v>
      </c>
      <c r="E10" s="2">
        <v>44093</v>
      </c>
      <c r="F10" s="2"/>
      <c r="G10" s="3" t="str">
        <f t="shared" si="1"/>
        <v/>
      </c>
    </row>
    <row r="11" spans="1:7" x14ac:dyDescent="0.4">
      <c r="A11" s="1" t="s">
        <v>9</v>
      </c>
      <c r="B11" s="2">
        <v>44095</v>
      </c>
      <c r="C11" s="2">
        <v>44099</v>
      </c>
      <c r="D11" s="3">
        <f t="shared" si="0"/>
        <v>5</v>
      </c>
      <c r="E11" s="2">
        <v>44096</v>
      </c>
      <c r="F11" s="2"/>
      <c r="G11" s="3" t="str">
        <f t="shared" si="1"/>
        <v/>
      </c>
    </row>
    <row r="12" spans="1:7" x14ac:dyDescent="0.4">
      <c r="A12" s="1" t="s">
        <v>10</v>
      </c>
      <c r="B12" s="2">
        <v>44096</v>
      </c>
      <c r="C12" s="2">
        <v>44099</v>
      </c>
      <c r="D12" s="3">
        <f t="shared" si="0"/>
        <v>4</v>
      </c>
      <c r="E12" s="2">
        <v>44096</v>
      </c>
      <c r="F12" s="2"/>
      <c r="G12" s="3" t="str">
        <f t="shared" si="1"/>
        <v/>
      </c>
    </row>
    <row r="13" spans="1:7" x14ac:dyDescent="0.4">
      <c r="A13" s="1" t="s">
        <v>11</v>
      </c>
      <c r="B13" s="2">
        <v>44102</v>
      </c>
      <c r="C13" s="2">
        <v>44103</v>
      </c>
      <c r="D13" s="3">
        <f t="shared" si="0"/>
        <v>2</v>
      </c>
      <c r="E13" s="2">
        <v>44102</v>
      </c>
      <c r="F13" s="2"/>
      <c r="G13" s="3" t="str">
        <f t="shared" si="1"/>
        <v/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B6A6-3EF3-471C-B1FC-DE00244D90A8}">
  <dimension ref="A1:G18"/>
  <sheetViews>
    <sheetView showGridLines="0" tabSelected="1" topLeftCell="A16" zoomScale="64" zoomScaleNormal="64" workbookViewId="0">
      <selection activeCell="J20" sqref="J20"/>
    </sheetView>
  </sheetViews>
  <sheetFormatPr defaultRowHeight="17.399999999999999" x14ac:dyDescent="0.4"/>
  <cols>
    <col min="1" max="1" width="30.3984375" bestFit="1" customWidth="1"/>
    <col min="2" max="3" width="11.09765625" bestFit="1" customWidth="1"/>
    <col min="4" max="4" width="7.3984375" bestFit="1" customWidth="1"/>
    <col min="5" max="5" width="14.8984375" customWidth="1"/>
    <col min="6" max="7" width="10.59765625" customWidth="1"/>
    <col min="8" max="8" width="7.3984375" customWidth="1"/>
    <col min="9" max="10" width="11.09765625" bestFit="1" customWidth="1"/>
    <col min="11" max="11" width="7.3984375" bestFit="1" customWidth="1"/>
  </cols>
  <sheetData>
    <row r="1" spans="1:7" x14ac:dyDescent="0.4">
      <c r="A1" s="4" t="s">
        <v>24</v>
      </c>
    </row>
    <row r="2" spans="1:7" x14ac:dyDescent="0.4">
      <c r="A2" s="4"/>
    </row>
    <row r="3" spans="1:7" x14ac:dyDescent="0.4">
      <c r="A3" s="4"/>
      <c r="B3" s="6" t="s">
        <v>15</v>
      </c>
      <c r="C3" s="6"/>
      <c r="D3" s="6"/>
      <c r="E3" s="11"/>
      <c r="F3" s="11"/>
      <c r="G3" s="11"/>
    </row>
    <row r="4" spans="1:7" x14ac:dyDescent="0.4">
      <c r="A4" s="10" t="s">
        <v>0</v>
      </c>
      <c r="B4" s="5" t="s">
        <v>1</v>
      </c>
      <c r="C4" s="5" t="s">
        <v>2</v>
      </c>
      <c r="D4" s="5" t="s">
        <v>14</v>
      </c>
      <c r="E4" s="5" t="s">
        <v>16</v>
      </c>
      <c r="F4" s="5" t="s">
        <v>17</v>
      </c>
      <c r="G4" s="5" t="s">
        <v>18</v>
      </c>
    </row>
    <row r="5" spans="1:7" x14ac:dyDescent="0.4">
      <c r="A5" s="15" t="s">
        <v>21</v>
      </c>
      <c r="B5" s="2">
        <v>46084</v>
      </c>
      <c r="C5" s="2">
        <v>46088</v>
      </c>
      <c r="D5" s="3">
        <f>IF(C5="", "", C5-B5+1)</f>
        <v>5</v>
      </c>
      <c r="E5" s="12">
        <f>B5+D5</f>
        <v>46089</v>
      </c>
      <c r="F5" s="13">
        <v>1</v>
      </c>
      <c r="G5" s="14">
        <f>D5*F5</f>
        <v>5</v>
      </c>
    </row>
    <row r="6" spans="1:7" x14ac:dyDescent="0.4">
      <c r="A6" s="15" t="s">
        <v>33</v>
      </c>
      <c r="B6" s="2">
        <v>46088</v>
      </c>
      <c r="C6" s="2">
        <v>46099</v>
      </c>
      <c r="D6" s="3">
        <f t="shared" ref="D6:D13" si="0">IF(C6="", "", C6-B6+1)</f>
        <v>12</v>
      </c>
      <c r="E6" s="12">
        <f>B6+D6</f>
        <v>46100</v>
      </c>
      <c r="F6" s="13">
        <v>1</v>
      </c>
      <c r="G6" s="14">
        <f t="shared" ref="G6:G13" si="1">D6*F6</f>
        <v>12</v>
      </c>
    </row>
    <row r="7" spans="1:7" x14ac:dyDescent="0.4">
      <c r="A7" s="15" t="s">
        <v>23</v>
      </c>
      <c r="B7" s="2">
        <v>46085</v>
      </c>
      <c r="C7" s="2">
        <v>46091</v>
      </c>
      <c r="D7" s="3">
        <f t="shared" si="0"/>
        <v>7</v>
      </c>
      <c r="E7" s="12">
        <f t="shared" ref="E7:E13" si="2">B7+D7</f>
        <v>46092</v>
      </c>
      <c r="F7" s="13">
        <v>1</v>
      </c>
      <c r="G7" s="14">
        <f t="shared" si="1"/>
        <v>7</v>
      </c>
    </row>
    <row r="8" spans="1:7" x14ac:dyDescent="0.4">
      <c r="A8" s="15" t="s">
        <v>19</v>
      </c>
      <c r="B8" s="2">
        <v>46098</v>
      </c>
      <c r="C8" s="2">
        <v>46140</v>
      </c>
      <c r="D8" s="3">
        <f t="shared" si="0"/>
        <v>43</v>
      </c>
      <c r="E8" s="12">
        <f t="shared" si="2"/>
        <v>46141</v>
      </c>
      <c r="F8" s="13">
        <v>0.5</v>
      </c>
      <c r="G8" s="14">
        <f t="shared" si="1"/>
        <v>21.5</v>
      </c>
    </row>
    <row r="9" spans="1:7" x14ac:dyDescent="0.4">
      <c r="A9" s="15" t="s">
        <v>20</v>
      </c>
      <c r="B9" s="2">
        <v>46098</v>
      </c>
      <c r="C9" s="2">
        <v>46140</v>
      </c>
      <c r="D9" s="3">
        <f t="shared" si="0"/>
        <v>43</v>
      </c>
      <c r="E9" s="12">
        <f t="shared" si="2"/>
        <v>46141</v>
      </c>
      <c r="F9" s="13">
        <v>0.5</v>
      </c>
      <c r="G9" s="14">
        <f t="shared" si="1"/>
        <v>21.5</v>
      </c>
    </row>
    <row r="10" spans="1:7" x14ac:dyDescent="0.4">
      <c r="A10" s="15" t="s">
        <v>22</v>
      </c>
      <c r="B10" s="2">
        <v>46106</v>
      </c>
      <c r="C10" s="2">
        <v>46142</v>
      </c>
      <c r="D10" s="3">
        <f t="shared" si="0"/>
        <v>37</v>
      </c>
      <c r="E10" s="12">
        <f t="shared" si="2"/>
        <v>46143</v>
      </c>
      <c r="F10" s="13">
        <v>0.37</v>
      </c>
      <c r="G10" s="14">
        <f t="shared" si="1"/>
        <v>13.69</v>
      </c>
    </row>
    <row r="11" spans="1:7" x14ac:dyDescent="0.4">
      <c r="A11" s="15" t="s">
        <v>26</v>
      </c>
      <c r="B11" s="2">
        <v>46106</v>
      </c>
      <c r="C11" s="2">
        <v>46112</v>
      </c>
      <c r="D11" s="3">
        <f t="shared" si="0"/>
        <v>7</v>
      </c>
      <c r="E11" s="12">
        <f t="shared" si="2"/>
        <v>46113</v>
      </c>
      <c r="F11" s="13">
        <v>1</v>
      </c>
      <c r="G11" s="14">
        <f t="shared" si="1"/>
        <v>7</v>
      </c>
    </row>
    <row r="12" spans="1:7" x14ac:dyDescent="0.4">
      <c r="A12" s="15" t="s">
        <v>30</v>
      </c>
      <c r="B12" s="2">
        <v>46115</v>
      </c>
      <c r="C12" s="2">
        <v>46156</v>
      </c>
      <c r="D12" s="3">
        <f t="shared" si="0"/>
        <v>42</v>
      </c>
      <c r="E12" s="12">
        <f t="shared" si="2"/>
        <v>46157</v>
      </c>
      <c r="F12" s="13">
        <v>0.1</v>
      </c>
      <c r="G12" s="14">
        <f t="shared" si="1"/>
        <v>4.2</v>
      </c>
    </row>
    <row r="13" spans="1:7" x14ac:dyDescent="0.4">
      <c r="A13" s="15" t="s">
        <v>32</v>
      </c>
      <c r="B13" s="2">
        <v>46130</v>
      </c>
      <c r="C13" s="2">
        <v>46149</v>
      </c>
      <c r="D13" s="3">
        <f t="shared" si="0"/>
        <v>20</v>
      </c>
      <c r="E13" s="12">
        <f t="shared" si="2"/>
        <v>46150</v>
      </c>
      <c r="F13" s="13">
        <v>0</v>
      </c>
      <c r="G13" s="14">
        <f t="shared" si="1"/>
        <v>0</v>
      </c>
    </row>
    <row r="14" spans="1:7" x14ac:dyDescent="0.4">
      <c r="A14" s="15" t="s">
        <v>28</v>
      </c>
      <c r="B14" s="2">
        <v>46141</v>
      </c>
      <c r="C14" s="2">
        <v>46147</v>
      </c>
      <c r="D14" s="3">
        <f t="shared" ref="D14" si="3">IF(C14="", "", C14-B14+1)</f>
        <v>7</v>
      </c>
      <c r="E14" s="12">
        <f t="shared" ref="E14" si="4">B14+D14</f>
        <v>46148</v>
      </c>
      <c r="F14" s="13">
        <v>0</v>
      </c>
      <c r="G14" s="14">
        <f t="shared" ref="G14" si="5">D14*F14</f>
        <v>0</v>
      </c>
    </row>
    <row r="15" spans="1:7" x14ac:dyDescent="0.4">
      <c r="A15" s="15" t="s">
        <v>27</v>
      </c>
      <c r="B15" s="2">
        <v>46150</v>
      </c>
      <c r="C15" s="2">
        <v>46170</v>
      </c>
      <c r="D15" s="3">
        <f t="shared" ref="D15:D16" si="6">IF(C15="", "", C15-B15+1)</f>
        <v>21</v>
      </c>
      <c r="E15" s="12">
        <f t="shared" ref="E15:E16" si="7">B15+D15</f>
        <v>46171</v>
      </c>
      <c r="F15" s="13">
        <v>0</v>
      </c>
      <c r="G15" s="14">
        <f t="shared" ref="G15:G16" si="8">D15*F15</f>
        <v>0</v>
      </c>
    </row>
    <row r="16" spans="1:7" x14ac:dyDescent="0.4">
      <c r="A16" s="15" t="s">
        <v>31</v>
      </c>
      <c r="B16" s="2">
        <v>46162</v>
      </c>
      <c r="C16" s="2">
        <v>46183</v>
      </c>
      <c r="D16" s="3">
        <f t="shared" si="6"/>
        <v>22</v>
      </c>
      <c r="E16" s="12">
        <f t="shared" si="7"/>
        <v>46184</v>
      </c>
      <c r="F16" s="13">
        <v>0</v>
      </c>
      <c r="G16" s="14">
        <f t="shared" si="8"/>
        <v>0</v>
      </c>
    </row>
    <row r="17" spans="1:7" x14ac:dyDescent="0.4">
      <c r="A17" s="15" t="s">
        <v>29</v>
      </c>
      <c r="B17" s="2">
        <v>46173</v>
      </c>
      <c r="C17" s="2">
        <v>46193</v>
      </c>
      <c r="D17" s="3">
        <f t="shared" ref="D17" si="9">IF(C17="", "", C17-B17+1)</f>
        <v>21</v>
      </c>
      <c r="E17" s="12">
        <f t="shared" ref="E17" si="10">B17+D17</f>
        <v>46194</v>
      </c>
      <c r="F17" s="13">
        <v>0</v>
      </c>
      <c r="G17" s="14">
        <f t="shared" ref="G17" si="11">D17*F17</f>
        <v>0</v>
      </c>
    </row>
    <row r="18" spans="1:7" x14ac:dyDescent="0.4">
      <c r="A18" s="16" t="s">
        <v>25</v>
      </c>
      <c r="B18" s="2">
        <v>46176</v>
      </c>
      <c r="C18" s="2">
        <v>46182</v>
      </c>
      <c r="D18" s="3">
        <f t="shared" ref="D18" si="12">IF(C18="", "", C18-B18+1)</f>
        <v>7</v>
      </c>
      <c r="E18" s="12">
        <f t="shared" ref="E18" si="13">B18+D18</f>
        <v>46183</v>
      </c>
      <c r="F18" s="13">
        <v>0</v>
      </c>
      <c r="G18" s="14">
        <f t="shared" ref="G18" si="14">D18*F18</f>
        <v>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완성</vt:lpstr>
      <vt:lpstr>연습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권현욱</dc:creator>
  <cp:lastModifiedBy>배채은</cp:lastModifiedBy>
  <dcterms:created xsi:type="dcterms:W3CDTF">2020-09-01T02:47:44Z</dcterms:created>
  <dcterms:modified xsi:type="dcterms:W3CDTF">2026-04-08T02:26:38Z</dcterms:modified>
</cp:coreProperties>
</file>